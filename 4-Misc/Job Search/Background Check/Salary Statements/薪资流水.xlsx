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officeDocument/2006/relationships" xmlns:ns2="http://schemas.microsoft.com/office/spreadsheetml/2018/calcfeatures">
  <fileVersion appName="xl" lastEdited="3" lowestEdited="5" rupBuild="9302"/>
  <workbookPr/>
  <bookViews>
    <workbookView windowHeight="17140" activeTab="1"/>
  </bookViews>
  <sheets>
    <sheet name="25年" sheetId="1" ns1:id="rId1"/>
    <sheet name="26年" sheetId="2" ns1:id="rId2"/>
  </sheets>
  <calcPr calcId="191029" calcMode="auto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<sst xmlns="http://schemas.openxmlformats.org/spreadsheetml/2006/main" count="18" uniqueCount="9">
  <si>
    <t>月份</t>
  </si>
  <si>
    <t>税前收入</t>
  </si>
  <si>
    <t>减除费用</t>
  </si>
  <si>
    <t>社保</t>
  </si>
  <si>
    <t>公积金</t>
  </si>
  <si>
    <t>应纳税所得额</t>
  </si>
  <si>
    <t>应纳税额</t>
  </si>
  <si>
    <t>到手收入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</si>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</sst>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H14"/>
  <sheetViews>
    <sheetView workbookViewId="0">
      <selection activeCell="F20" sqref="F20"/>
    </sheetView>
  </sheetViews>
  <sheetFormatPr defaultColWidth="9" defaultRowHeight="16.8" outlineLevelCol="7"/>
  <cols>
    <col min="6" max="6" width="11.71875" customWidth="1"/>
    <col min="7" max="7" width="11.46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30160</v>
      </c>
      <c r="C2">
        <f>5000</f>
        <v>5000.00</v>
      </c>
      <c r="D2">
        <f>30000*10.2%+3</f>
        <v>3063.00</v>
      </c>
      <c r="E2">
        <f>30000*12%</f>
        <v>3600.00</v>
      </c>
      <c r="F2">
        <f>MAX(0,B2-C2-D2-E2)</f>
        <v>18497.00</v>
      </c>
      <c r="G2">
        <f>MAX(0,ROUND(IF(MAX(0,SUM($B$2:B2)-SUM($C$2:C2)-SUM($D$2:D2)-SUM($E$2:E2))&lt;=36000,MAX(0,SUM($B$2:B2)-SUM($C$2:C2)-SUM($D$2:D2)-SUM($E$2:E2))*3%,IF(MAX(0,SUM($B$2:B2)-SUM($C$2:C2)-SUM($D$2:D2)-SUM($E$2:E2))&lt;=144000,MAX(0,SUM($B$2:B2)-SUM($C$2:C2)-SUM($D$2:D2)-SUM($E$2:E2))*10%-2520,IF(MAX(0,SUM($B$2:B2)-SUM($C$2:C2)-SUM($D$2:D2)-SUM($E$2:E2))&lt;=300000,MAX(0,SUM($B$2:B2)-SUM($C$2:C2)-SUM($D$2:D2)-SUM($E$2:E2))*20%-16920,IF(MAX(0,SUM($B$2:B2)-SUM($C$2:C2)-SUM($D$2:D2)-SUM($E$2:E2))&lt;=420000,MAX(0,SUM($B$2:B2)-SUM($C$2:C2)-SUM($D$2:D2)-SUM($E$2:E2))*25%-31920,IF(MAX(0,SUM($B$2:B2)-SUM($C$2:C2)-SUM($D$2:D2)-SUM($E$2:E2))&lt;=660000,MAX(0,SUM($B$2:B2)-SUM($C$2:C2)-SUM($D$2:D2)-SUM($E$2:E2))*30%-52920,IF(MAX(0,SUM($B$2:B2)-SUM($C$2:C2)-SUM($D$2:D2)-SUM($E$2:E2))&lt;=960000,MAX(0,SUM($B$2:B2)-SUM($C$2:C2)-SUM($D$2:D2)-SUM($E$2:E2))*35%-85920,MAX(0,SUM($B$2:B2)-SUM($C$2:C2)-SUM($D$2:D2)-SUM($E$2:E2))*45%-181920))))))-0,2))</f>
        <v>554.91</v>
      </c>
      <c r="H2">
        <f>B2-D2-E2-G2</f>
        <v>22942.09</v>
      </c>
    </row>
    <row r="3" spans="1:8">
      <c r="A3">
        <v>2</v>
      </c>
      <c r="B3">
        <v>30190</v>
      </c>
      <c r="C3">
        <f>5000</f>
        <v>5000.00</v>
      </c>
      <c r="D3">
        <f>30000*10.2%+3</f>
        <v>3063.00</v>
      </c>
      <c r="E3">
        <f>30000*12%</f>
        <v>3600.00</v>
      </c>
      <c r="F3">
        <f>MAX(0,B3-C3-D3-E3)</f>
        <v>18527.00</v>
      </c>
      <c r="G3">
        <f>MAX(0,ROUND(IF(MAX(0,SUM($B$2:B3)-SUM($C$2:C3)-SUM($D$2:D3)-SUM($E$2:E3))&lt;=36000,MAX(0,SUM($B$2:B3)-SUM($C$2:C3)-SUM($D$2:D3)-SUM($E$2:E3))*3%,IF(MAX(0,SUM($B$2:B3)-SUM($C$2:C3)-SUM($D$2:D3)-SUM($E$2:E3))&lt;=144000,MAX(0,SUM($B$2:B3)-SUM($C$2:C3)-SUM($D$2:D3)-SUM($E$2:E3))*10%-2520,IF(MAX(0,SUM($B$2:B3)-SUM($C$2:C3)-SUM($D$2:D3)-SUM($E$2:E3))&lt;=300000,MAX(0,SUM($B$2:B3)-SUM($C$2:C3)-SUM($D$2:D3)-SUM($E$2:E3))*20%-16920,IF(MAX(0,SUM($B$2:B3)-SUM($C$2:C3)-SUM($D$2:D3)-SUM($E$2:E3))&lt;=420000,MAX(0,SUM($B$2:B3)-SUM($C$2:C3)-SUM($D$2:D3)-SUM($E$2:E3))*25%-31920,IF(MAX(0,SUM($B$2:B3)-SUM($C$2:C3)-SUM($D$2:D3)-SUM($E$2:E3))&lt;=660000,MAX(0,SUM($B$2:B3)-SUM($C$2:C3)-SUM($D$2:D3)-SUM($E$2:E3))*30%-52920,IF(MAX(0,SUM($B$2:B3)-SUM($C$2:C3)-SUM($D$2:D3)-SUM($E$2:E3))&lt;=960000,MAX(0,SUM($B$2:B3)-SUM($C$2:C3)-SUM($D$2:D3)-SUM($E$2:E3))*35%-85920,MAX(0,SUM($B$2:B3)-SUM($C$2:C3)-SUM($D$2:D3)-SUM($E$2:E3))*45%-181920))))))-SUM($G$2:G2),2))</f>
        <v>627.49</v>
      </c>
      <c r="H3">
        <f>B3-D3-E3-G3</f>
        <v>22899.51</v>
      </c>
    </row>
    <row r="4" spans="1:8">
      <c r="A4">
        <v>3</v>
      </c>
      <c r="B4">
        <v>30200</v>
      </c>
      <c r="C4">
        <f>5000</f>
        <v>5000.00</v>
      </c>
      <c r="D4">
        <f>30000*10.2%+3</f>
        <v>3063.00</v>
      </c>
      <c r="E4">
        <f>30000*12%</f>
        <v>3600.00</v>
      </c>
      <c r="F4">
        <f>MAX(0,B4-C4-D4-E4)</f>
        <v>18537.00</v>
      </c>
      <c r="G4">
        <f>MAX(0,ROUND(IF(MAX(0,SUM($B$2:B4)-SUM($C$2:C4)-SUM($D$2:D4)-SUM($E$2:E4))&lt;=36000,MAX(0,SUM($B$2:B4)-SUM($C$2:C4)-SUM($D$2:D4)-SUM($E$2:E4))*3%,IF(MAX(0,SUM($B$2:B4)-SUM($C$2:C4)-SUM($D$2:D4)-SUM($E$2:E4))&lt;=144000,MAX(0,SUM($B$2:B4)-SUM($C$2:C4)-SUM($D$2:D4)-SUM($E$2:E4))*10%-2520,IF(MAX(0,SUM($B$2:B4)-SUM($C$2:C4)-SUM($D$2:D4)-SUM($E$2:E4))&lt;=300000,MAX(0,SUM($B$2:B4)-SUM($C$2:C4)-SUM($D$2:D4)-SUM($E$2:E4))*20%-16920,IF(MAX(0,SUM($B$2:B4)-SUM($C$2:C4)-SUM($D$2:D4)-SUM($E$2:E4))&lt;=420000,MAX(0,SUM($B$2:B4)-SUM($C$2:C4)-SUM($D$2:D4)-SUM($E$2:E4))*25%-31920,IF(MAX(0,SUM($B$2:B4)-SUM($C$2:C4)-SUM($D$2:D4)-SUM($E$2:E4))&lt;=660000,MAX(0,SUM($B$2:B4)-SUM($C$2:C4)-SUM($D$2:D4)-SUM($E$2:E4))*30%-52920,IF(MAX(0,SUM($B$2:B4)-SUM($C$2:C4)-SUM($D$2:D4)-SUM($E$2:E4))&lt;=960000,MAX(0,SUM($B$2:B4)-SUM($C$2:C4)-SUM($D$2:D4)-SUM($E$2:E4))*35%-85920,MAX(0,SUM($B$2:B4)-SUM($C$2:C4)-SUM($D$2:D4)-SUM($E$2:E4))*45%-181920))))))-SUM($G$2:G3),2))</f>
        <v>1853.70</v>
      </c>
      <c r="H4">
        <f>B4-D4-E4-G4</f>
        <v>21683.30</v>
      </c>
    </row>
    <row r="5" spans="1:8">
      <c r="A5">
        <v>4</v>
      </c>
      <c r="B5">
        <v>30210</v>
      </c>
      <c r="C5">
        <f>5000</f>
        <v>5000.00</v>
      </c>
      <c r="D5">
        <f>30000*10.2%+3</f>
        <v>3063.00</v>
      </c>
      <c r="E5">
        <f>30000*12%</f>
        <v>3600.00</v>
      </c>
      <c r="F5">
        <f>MAX(0,B5-C5-D5-E5)</f>
        <v>18547.00</v>
      </c>
      <c r="G5">
        <f>MAX(0,ROUND(IF(MAX(0,SUM($B$2:B5)-SUM($C$2:C5)-SUM($D$2:D5)-SUM($E$2:E5))&lt;=36000,MAX(0,SUM($B$2:B5)-SUM($C$2:C5)-SUM($D$2:D5)-SUM($E$2:E5))*3%,IF(MAX(0,SUM($B$2:B5)-SUM($C$2:C5)-SUM($D$2:D5)-SUM($E$2:E5))&lt;=144000,MAX(0,SUM($B$2:B5)-SUM($C$2:C5)-SUM($D$2:D5)-SUM($E$2:E5))*10%-2520,IF(MAX(0,SUM($B$2:B5)-SUM($C$2:C5)-SUM($D$2:D5)-SUM($E$2:E5))&lt;=300000,MAX(0,SUM($B$2:B5)-SUM($C$2:C5)-SUM($D$2:D5)-SUM($E$2:E5))*20%-16920,IF(MAX(0,SUM($B$2:B5)-SUM($C$2:C5)-SUM($D$2:D5)-SUM($E$2:E5))&lt;=420000,MAX(0,SUM($B$2:B5)-SUM($C$2:C5)-SUM($D$2:D5)-SUM($E$2:E5))*25%-31920,IF(MAX(0,SUM($B$2:B5)-SUM($C$2:C5)-SUM($D$2:D5)-SUM($E$2:E5))&lt;=660000,MAX(0,SUM($B$2:B5)-SUM($C$2:C5)-SUM($D$2:D5)-SUM($E$2:E5))*30%-52920,IF(MAX(0,SUM($B$2:B5)-SUM($C$2:C5)-SUM($D$2:D5)-SUM($E$2:E5))&lt;=960000,MAX(0,SUM($B$2:B5)-SUM($C$2:C5)-SUM($D$2:D5)-SUM($E$2:E5))*35%-85920,MAX(0,SUM($B$2:B5)-SUM($C$2:C5)-SUM($D$2:D5)-SUM($E$2:E5))*45%-181920))))))-SUM($G$2:G4),2))</f>
        <v>1854.70</v>
      </c>
      <c r="H5">
        <f>B5-D5-E5-G5</f>
        <v>21692.30</v>
      </c>
    </row>
    <row r="6" spans="1:8">
      <c r="A6">
        <v>5</v>
      </c>
      <c r="B6">
        <v>30130</v>
      </c>
      <c r="C6">
        <f>5000</f>
        <v>5000.00</v>
      </c>
      <c r="D6">
        <f>30000*10.2%+3</f>
        <v>3063.00</v>
      </c>
      <c r="E6">
        <f>30000*12%</f>
        <v>3600.00</v>
      </c>
      <c r="F6">
        <f>MAX(0,B6-C6-D6-E6)</f>
        <v>18467.00</v>
      </c>
      <c r="G6">
        <f>MAX(0,ROUND(IF(MAX(0,SUM($B$2:B6)-SUM($C$2:C6)-SUM($D$2:D6)-SUM($E$2:E6))&lt;=36000,MAX(0,SUM($B$2:B6)-SUM($C$2:C6)-SUM($D$2:D6)-SUM($E$2:E6))*3%,IF(MAX(0,SUM($B$2:B6)-SUM($C$2:C6)-SUM($D$2:D6)-SUM($E$2:E6))&lt;=144000,MAX(0,SUM($B$2:B6)-SUM($C$2:C6)-SUM($D$2:D6)-SUM($E$2:E6))*10%-2520,IF(MAX(0,SUM($B$2:B6)-SUM($C$2:C6)-SUM($D$2:D6)-SUM($E$2:E6))&lt;=300000,MAX(0,SUM($B$2:B6)-SUM($C$2:C6)-SUM($D$2:D6)-SUM($E$2:E6))*20%-16920,IF(MAX(0,SUM($B$2:B6)-SUM($C$2:C6)-SUM($D$2:D6)-SUM($E$2:E6))&lt;=420000,MAX(0,SUM($B$2:B6)-SUM($C$2:C6)-SUM($D$2:D6)-SUM($E$2:E6))*25%-31920,IF(MAX(0,SUM($B$2:B6)-SUM($C$2:C6)-SUM($D$2:D6)-SUM($E$2:E6))&lt;=660000,MAX(0,SUM($B$2:B6)-SUM($C$2:C6)-SUM($D$2:D6)-SUM($E$2:E6))*30%-52920,IF(MAX(0,SUM($B$2:B6)-SUM($C$2:C6)-SUM($D$2:D6)-SUM($E$2:E6))&lt;=960000,MAX(0,SUM($B$2:B6)-SUM($C$2:C6)-SUM($D$2:D6)-SUM($E$2:E6))*35%-85920,MAX(0,SUM($B$2:B6)-SUM($C$2:C6)-SUM($D$2:D6)-SUM($E$2:E6))*45%-181920))))))-SUM($G$2:G5),2))</f>
        <v>1846.70</v>
      </c>
      <c r="H6">
        <f>B6-D6-E6-G6</f>
        <v>21620.30</v>
      </c>
    </row>
    <row r="7" spans="1:8">
      <c r="A7">
        <v>6</v>
      </c>
      <c r="B7">
        <v>30180</v>
      </c>
      <c r="C7">
        <f>5000</f>
        <v>5000.00</v>
      </c>
      <c r="D7">
        <f>30000*10.2%+3</f>
        <v>3063.00</v>
      </c>
      <c r="E7">
        <f>30000*12%</f>
        <v>3600.00</v>
      </c>
      <c r="F7">
        <f>MAX(0,B7-C7-D7-E7)</f>
        <v>18517.00</v>
      </c>
      <c r="G7">
        <f>MAX(0,ROUND(IF(MAX(0,SUM($B$2:B7)-SUM($C$2:C7)-SUM($D$2:D7)-SUM($E$2:E7))&lt;=36000,MAX(0,SUM($B$2:B7)-SUM($C$2:C7)-SUM($D$2:D7)-SUM($E$2:E7))*3%,IF(MAX(0,SUM($B$2:B7)-SUM($C$2:C7)-SUM($D$2:D7)-SUM($E$2:E7))&lt;=144000,MAX(0,SUM($B$2:B7)-SUM($C$2:C7)-SUM($D$2:D7)-SUM($E$2:E7))*10%-2520,IF(MAX(0,SUM($B$2:B7)-SUM($C$2:C7)-SUM($D$2:D7)-SUM($E$2:E7))&lt;=300000,MAX(0,SUM($B$2:B7)-SUM($C$2:C7)-SUM($D$2:D7)-SUM($E$2:E7))*20%-16920,IF(MAX(0,SUM($B$2:B7)-SUM($C$2:C7)-SUM($D$2:D7)-SUM($E$2:E7))&lt;=420000,MAX(0,SUM($B$2:B7)-SUM($C$2:C7)-SUM($D$2:D7)-SUM($E$2:E7))*25%-31920,IF(MAX(0,SUM($B$2:B7)-SUM($C$2:C7)-SUM($D$2:D7)-SUM($E$2:E7))&lt;=660000,MAX(0,SUM($B$2:B7)-SUM($C$2:C7)-SUM($D$2:D7)-SUM($E$2:E7))*30%-52920,IF(MAX(0,SUM($B$2:B7)-SUM($C$2:C7)-SUM($D$2:D7)-SUM($E$2:E7))&lt;=960000,MAX(0,SUM($B$2:B7)-SUM($C$2:C7)-SUM($D$2:D7)-SUM($E$2:E7))*35%-85920,MAX(0,SUM($B$2:B7)-SUM($C$2:C7)-SUM($D$2:D7)-SUM($E$2:E7))*45%-181920))))))-SUM($G$2:G6),2))</f>
        <v>1851.70</v>
      </c>
      <c r="H7">
        <f>B7-D7-E7-G7</f>
        <v>21665.30</v>
      </c>
    </row>
    <row r="8" spans="1:8">
      <c r="A8">
        <v>7</v>
      </c>
      <c r="B8">
        <v>30220</v>
      </c>
      <c r="C8">
        <f>5000</f>
        <v>5000.00</v>
      </c>
      <c r="D8">
        <f>30000*10.2%+3</f>
        <v>3063.00</v>
      </c>
      <c r="E8">
        <f>30000*12%</f>
        <v>3600.00</v>
      </c>
      <c r="F8">
        <f>MAX(0,B8-C8-D8-E8)</f>
        <v>18557.00</v>
      </c>
      <c r="G8">
        <f>MAX(0,ROUND(IF(MAX(0,SUM($B$2:B8)-SUM($C$2:C8)-SUM($D$2:D8)-SUM($E$2:E8))&lt;=36000,MAX(0,SUM($B$2:B8)-SUM($C$2:C8)-SUM($D$2:D8)-SUM($E$2:E8))*3%,IF(MAX(0,SUM($B$2:B8)-SUM($C$2:C8)-SUM($D$2:D8)-SUM($E$2:E8))&lt;=144000,MAX(0,SUM($B$2:B8)-SUM($C$2:C8)-SUM($D$2:D8)-SUM($E$2:E8))*10%-2520,IF(MAX(0,SUM($B$2:B8)-SUM($C$2:C8)-SUM($D$2:D8)-SUM($E$2:E8))&lt;=300000,MAX(0,SUM($B$2:B8)-SUM($C$2:C8)-SUM($D$2:D8)-SUM($E$2:E8))*20%-16920,IF(MAX(0,SUM($B$2:B8)-SUM($C$2:C8)-SUM($D$2:D8)-SUM($E$2:E8))&lt;=420000,MAX(0,SUM($B$2:B8)-SUM($C$2:C8)-SUM($D$2:D8)-SUM($E$2:E8))*25%-31920,IF(MAX(0,SUM($B$2:B8)-SUM($C$2:C8)-SUM($D$2:D8)-SUM($E$2:E8))&lt;=660000,MAX(0,SUM($B$2:B8)-SUM($C$2:C8)-SUM($D$2:D8)-SUM($E$2:E8))*30%-52920,IF(MAX(0,SUM($B$2:B8)-SUM($C$2:C8)-SUM($D$2:D8)-SUM($E$2:E8))&lt;=960000,MAX(0,SUM($B$2:B8)-SUM($C$2:C8)-SUM($D$2:D8)-SUM($E$2:E8))*35%-85920,MAX(0,SUM($B$2:B8)-SUM($C$2:C8)-SUM($D$2:D8)-SUM($E$2:E8))*45%-181920))))))-SUM($G$2:G7),2))</f>
        <v>1855.70</v>
      </c>
      <c r="H8">
        <f>B8-D8-E8-G8</f>
        <v>21701.30</v>
      </c>
    </row>
    <row r="9" spans="1:8">
      <c r="A9">
        <v>8</v>
      </c>
      <c r="B9">
        <v>30000</v>
      </c>
      <c r="C9">
        <f>5000</f>
        <v>5000.00</v>
      </c>
      <c r="D9">
        <f>30000*10.2%+3</f>
        <v>3063.00</v>
      </c>
      <c r="E9">
        <f>30000*12%</f>
        <v>3600.00</v>
      </c>
      <c r="F9">
        <f>MAX(0,B9-C9-D9-E9)</f>
        <v>18337.00</v>
      </c>
      <c r="G9">
        <f>MAX(0,ROUND(IF(MAX(0,SUM($B$2:B9)-SUM($C$2:C9)-SUM($D$2:D9)-SUM($E$2:E9))&lt;=36000,MAX(0,SUM($B$2:B9)-SUM($C$2:C9)-SUM($D$2:D9)-SUM($E$2:E9))*3%,IF(MAX(0,SUM($B$2:B9)-SUM($C$2:C9)-SUM($D$2:D9)-SUM($E$2:E9))&lt;=144000,MAX(0,SUM($B$2:B9)-SUM($C$2:C9)-SUM($D$2:D9)-SUM($E$2:E9))*10%-2520,IF(MAX(0,SUM($B$2:B9)-SUM($C$2:C9)-SUM($D$2:D9)-SUM($E$2:E9))&lt;=300000,MAX(0,SUM($B$2:B9)-SUM($C$2:C9)-SUM($D$2:D9)-SUM($E$2:E9))*20%-16920,IF(MAX(0,SUM($B$2:B9)-SUM($C$2:C9)-SUM($D$2:D9)-SUM($E$2:E9))&lt;=420000,MAX(0,SUM($B$2:B9)-SUM($C$2:C9)-SUM($D$2:D9)-SUM($E$2:E9))*25%-31920,IF(MAX(0,SUM($B$2:B9)-SUM($C$2:C9)-SUM($D$2:D9)-SUM($E$2:E9))&lt;=660000,MAX(0,SUM($B$2:B9)-SUM($C$2:C9)-SUM($D$2:D9)-SUM($E$2:E9))*30%-52920,IF(MAX(0,SUM($B$2:B9)-SUM($C$2:C9)-SUM($D$2:D9)-SUM($E$2:E9))&lt;=960000,MAX(0,SUM($B$2:B9)-SUM($C$2:C9)-SUM($D$2:D9)-SUM($E$2:E9))*35%-85920,MAX(0,SUM($B$2:B9)-SUM($C$2:C9)-SUM($D$2:D9)-SUM($E$2:E9))*45%-181920))))))-SUM($G$2:G8),2))</f>
        <v>2232.30</v>
      </c>
      <c r="H9">
        <f>B9-D9-E9-G9</f>
        <v>21104.70</v>
      </c>
    </row>
    <row r="10" spans="1:8">
      <c r="A10">
        <v>9</v>
      </c>
      <c r="B10">
        <v>30000</v>
      </c>
      <c r="C10">
        <f>5000</f>
        <v>5000.00</v>
      </c>
      <c r="D10">
        <f>30000*10.2%+3</f>
        <v>3063.00</v>
      </c>
      <c r="E10">
        <f>30000*12%</f>
        <v>3600.00</v>
      </c>
      <c r="F10">
        <f>MAX(0,B10-C10-D10-E10)</f>
        <v>18337.00</v>
      </c>
      <c r="G10">
        <f>MAX(0,ROUND(IF(MAX(0,SUM($B$2:B10)-SUM($C$2:C10)-SUM($D$2:D10)-SUM($E$2:E10))&lt;=36000,MAX(0,SUM($B$2:B10)-SUM($C$2:C10)-SUM($D$2:D10)-SUM($E$2:E10))*3%,IF(MAX(0,SUM($B$2:B10)-SUM($C$2:C10)-SUM($D$2:D10)-SUM($E$2:E10))&lt;=144000,MAX(0,SUM($B$2:B10)-SUM($C$2:C10)-SUM($D$2:D10)-SUM($E$2:E10))*10%-2520,IF(MAX(0,SUM($B$2:B10)-SUM($C$2:C10)-SUM($D$2:D10)-SUM($E$2:E10))&lt;=300000,MAX(0,SUM($B$2:B10)-SUM($C$2:C10)-SUM($D$2:D10)-SUM($E$2:E10))*20%-16920,IF(MAX(0,SUM($B$2:B10)-SUM($C$2:C10)-SUM($D$2:D10)-SUM($E$2:E10))&lt;=420000,MAX(0,SUM($B$2:B10)-SUM($C$2:C10)-SUM($D$2:D10)-SUM($E$2:E10))*25%-31920,IF(MAX(0,SUM($B$2:B10)-SUM($C$2:C10)-SUM($D$2:D10)-SUM($E$2:E10))&lt;=660000,MAX(0,SUM($B$2:B10)-SUM($C$2:C10)-SUM($D$2:D10)-SUM($E$2:E10))*30%-52920,IF(MAX(0,SUM($B$2:B10)-SUM($C$2:C10)-SUM($D$2:D10)-SUM($E$2:E10))&lt;=960000,MAX(0,SUM($B$2:B10)-SUM($C$2:C10)-SUM($D$2:D10)-SUM($E$2:E10))*35%-85920,MAX(0,SUM($B$2:B10)-SUM($C$2:C10)-SUM($D$2:D10)-SUM($E$2:E10))*45%-181920))))))-SUM($G$2:G9),2))</f>
        <v>3667.40</v>
      </c>
      <c r="H10">
        <f>B10-D10-E10-G10</f>
        <v>19669.60</v>
      </c>
    </row>
    <row r="11" spans="1:8">
      <c r="A11">
        <v>10</v>
      </c>
      <c r="B11">
        <v>29980</v>
      </c>
      <c r="C11">
        <f>5000</f>
        <v>5000.00</v>
      </c>
      <c r="D11">
        <f>30000*10.2%+3</f>
        <v>3063.00</v>
      </c>
      <c r="E11">
        <f>30000*12%</f>
        <v>3600.00</v>
      </c>
      <c r="F11">
        <f>MAX(0,B11-C11-D11-E11)</f>
        <v>18317.00</v>
      </c>
      <c r="G11">
        <f>MAX(0,ROUND(IF(MAX(0,SUM($B$2:B11)-SUM($C$2:C11)-SUM($D$2:D11)-SUM($E$2:E11))&lt;=36000,MAX(0,SUM($B$2:B11)-SUM($C$2:C11)-SUM($D$2:D11)-SUM($E$2:E11))*3%,IF(MAX(0,SUM($B$2:B11)-SUM($C$2:C11)-SUM($D$2:D11)-SUM($E$2:E11))&lt;=144000,MAX(0,SUM($B$2:B11)-SUM($C$2:C11)-SUM($D$2:D11)-SUM($E$2:E11))*10%-2520,IF(MAX(0,SUM($B$2:B11)-SUM($C$2:C11)-SUM($D$2:D11)-SUM($E$2:E11))&lt;=300000,MAX(0,SUM($B$2:B11)-SUM($C$2:C11)-SUM($D$2:D11)-SUM($E$2:E11))*20%-16920,IF(MAX(0,SUM($B$2:B11)-SUM($C$2:C11)-SUM($D$2:D11)-SUM($E$2:E11))&lt;=420000,MAX(0,SUM($B$2:B11)-SUM($C$2:C11)-SUM($D$2:D11)-SUM($E$2:E11))*25%-31920,IF(MAX(0,SUM($B$2:B11)-SUM($C$2:C11)-SUM($D$2:D11)-SUM($E$2:E11))&lt;=660000,MAX(0,SUM($B$2:B11)-SUM($C$2:C11)-SUM($D$2:D11)-SUM($E$2:E11))*30%-52920,IF(MAX(0,SUM($B$2:B11)-SUM($C$2:C11)-SUM($D$2:D11)-SUM($E$2:E11))&lt;=960000,MAX(0,SUM($B$2:B11)-SUM($C$2:C11)-SUM($D$2:D11)-SUM($E$2:E11))*35%-85920,MAX(0,SUM($B$2:B11)-SUM($C$2:C11)-SUM($D$2:D11)-SUM($E$2:E11))*45%-181920))))))-SUM($G$2:G10),2))</f>
        <v>3663.40</v>
      </c>
      <c r="H11">
        <f>B11-D11-E11-G11</f>
        <v>19653.60</v>
      </c>
    </row>
    <row r="12" spans="1:8">
      <c r="A12">
        <v>11</v>
      </c>
      <c r="B12">
        <v>30000</v>
      </c>
      <c r="C12">
        <f>5000</f>
        <v>5000.00</v>
      </c>
      <c r="D12">
        <f>30000*10.2%+3</f>
        <v>3063.00</v>
      </c>
      <c r="E12">
        <f>30000*12%</f>
        <v>3600.00</v>
      </c>
      <c r="F12">
        <f>MAX(0,B12-C12-D12-E12)</f>
        <v>18337.00</v>
      </c>
      <c r="G12">
        <f>MAX(0,ROUND(IF(MAX(0,SUM($B$2:B12)-SUM($C$2:C12)-SUM($D$2:D12)-SUM($E$2:E12))&lt;=36000,MAX(0,SUM($B$2:B12)-SUM($C$2:C12)-SUM($D$2:D12)-SUM($E$2:E12))*3%,IF(MAX(0,SUM($B$2:B12)-SUM($C$2:C12)-SUM($D$2:D12)-SUM($E$2:E12))&lt;=144000,MAX(0,SUM($B$2:B12)-SUM($C$2:C12)-SUM($D$2:D12)-SUM($E$2:E12))*10%-2520,IF(MAX(0,SUM($B$2:B12)-SUM($C$2:C12)-SUM($D$2:D12)-SUM($E$2:E12))&lt;=300000,MAX(0,SUM($B$2:B12)-SUM($C$2:C12)-SUM($D$2:D12)-SUM($E$2:E12))*20%-16920,IF(MAX(0,SUM($B$2:B12)-SUM($C$2:C12)-SUM($D$2:D12)-SUM($E$2:E12))&lt;=420000,MAX(0,SUM($B$2:B12)-SUM($C$2:C12)-SUM($D$2:D12)-SUM($E$2:E12))*25%-31920,IF(MAX(0,SUM($B$2:B12)-SUM($C$2:C12)-SUM($D$2:D12)-SUM($E$2:E12))&lt;=660000,MAX(0,SUM($B$2:B12)-SUM($C$2:C12)-SUM($D$2:D12)-SUM($E$2:E12))*30%-52920,IF(MAX(0,SUM($B$2:B12)-SUM($C$2:C12)-SUM($D$2:D12)-SUM($E$2:E12))&lt;=960000,MAX(0,SUM($B$2:B12)-SUM($C$2:C12)-SUM($D$2:D12)-SUM($E$2:E12))*35%-85920,MAX(0,SUM($B$2:B12)-SUM($C$2:C12)-SUM($D$2:D12)-SUM($E$2:E12))*45%-181920))))))-SUM($G$2:G11),2))</f>
        <v>3667.40</v>
      </c>
      <c r="H12">
        <f>B12-D12-E12-G12</f>
        <v>19669.60</v>
      </c>
    </row>
    <row r="13" spans="1:8">
      <c r="A13">
        <v>12</v>
      </c>
      <c r="B13">
        <v>30000</v>
      </c>
      <c r="C13">
        <f>5000</f>
        <v>5000.00</v>
      </c>
      <c r="D13">
        <f>30000*10.2%+3</f>
        <v>3063.00</v>
      </c>
      <c r="E13">
        <f>30000*12%</f>
        <v>3600.00</v>
      </c>
      <c r="F13">
        <f>MAX(0,B13-C13-D13-E13)</f>
        <v>18337.00</v>
      </c>
      <c r="G13">
        <f>MAX(0,ROUND(IF(MAX(0,SUM($B$2:B13)-SUM($C$2:C13)-SUM($D$2:D13)-SUM($E$2:E13))&lt;=36000,MAX(0,SUM($B$2:B13)-SUM($C$2:C13)-SUM($D$2:D13)-SUM($E$2:E13))*3%,IF(MAX(0,SUM($B$2:B13)-SUM($C$2:C13)-SUM($D$2:D13)-SUM($E$2:E13))&lt;=144000,MAX(0,SUM($B$2:B13)-SUM($C$2:C13)-SUM($D$2:D13)-SUM($E$2:E13))*10%-2520,IF(MAX(0,SUM($B$2:B13)-SUM($C$2:C13)-SUM($D$2:D13)-SUM($E$2:E13))&lt;=300000,MAX(0,SUM($B$2:B13)-SUM($C$2:C13)-SUM($D$2:D13)-SUM($E$2:E13))*20%-16920,IF(MAX(0,SUM($B$2:B13)-SUM($C$2:C13)-SUM($D$2:D13)-SUM($E$2:E13))&lt;=420000,MAX(0,SUM($B$2:B13)-SUM($C$2:C13)-SUM($D$2:D13)-SUM($E$2:E13))*25%-31920,IF(MAX(0,SUM($B$2:B13)-SUM($C$2:C13)-SUM($D$2:D13)-SUM($E$2:E13))&lt;=660000,MAX(0,SUM($B$2:B13)-SUM($C$2:C13)-SUM($D$2:D13)-SUM($E$2:E13))*30%-52920,IF(MAX(0,SUM($B$2:B13)-SUM($C$2:C13)-SUM($D$2:D13)-SUM($E$2:E13))&lt;=960000,MAX(0,SUM($B$2:B13)-SUM($C$2:C13)-SUM($D$2:D13)-SUM($E$2:E13))*35%-85920,MAX(0,SUM($B$2:B13)-SUM($C$2:C13)-SUM($D$2:D13)-SUM($E$2:E13))*45%-181920))))))-SUM($G$2:G12),2))</f>
        <v>3667.40</v>
      </c>
      <c r="H13">
        <f>B13-D13-E13-G13</f>
        <v>19669.60</v>
      </c>
    </row>
    <row r="14" spans="1:8">
      <c r="A14" t="s">
        <v>8</v>
      </c>
      <c r="B14">
        <f>SUM(B2:B13)</f>
        <v>361270.00</v>
      </c>
      <c r="C14">
        <f>SUM(C2:C13)</f>
        <v>60000.00</v>
      </c>
      <c r="D14">
        <f>SUM(D2:D13)</f>
        <v>36756.00</v>
      </c>
      <c r="E14">
        <f>SUM(E2:E13)</f>
        <v>43200.00</v>
      </c>
      <c r="F14">
        <f>SUM(F2:F13)</f>
        <v>221314.00</v>
      </c>
      <c r="G14">
        <f>SUM(G2:G13)</f>
        <v>27342.80</v>
      </c>
      <c r="H14">
        <f>SUM(H2:H13)</f>
        <v>253971.20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/>
  <dimension ref="A1:H6"/>
  <sheetViews>
    <sheetView tabSelected="1" workbookViewId="0">
      <selection activeCell="G21" sqref="G21"/>
    </sheetView>
  </sheetViews>
  <sheetFormatPr defaultColWidth="9" defaultRowHeight="16.8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30000</v>
      </c>
      <c r="C2">
        <f>5000</f>
        <v>5000.00</v>
      </c>
      <c r="D2">
        <f>30000*10.2%+3</f>
        <v>3063.00</v>
      </c>
      <c r="E2">
        <f>30000*12%</f>
        <v>3600.00</v>
      </c>
      <c r="F2">
        <f>MAX(0,B2-C2-D2-E2)</f>
        <v>18337.00</v>
      </c>
      <c r="G2">
        <f>MAX(0,ROUND(IF(MAX(0,SUM($B$2:B2)-SUM($C$2:C2)-SUM($D$2:D2)-SUM($E$2:E2))&lt;=36000,MAX(0,SUM($B$2:B2)-SUM($C$2:C2)-SUM($D$2:D2)-SUM($E$2:E2))*3%,IF(MAX(0,SUM($B$2:B2)-SUM($C$2:C2)-SUM($D$2:D2)-SUM($E$2:E2))&lt;=144000,MAX(0,SUM($B$2:B2)-SUM($C$2:C2)-SUM($D$2:D2)-SUM($E$2:E2))*10%-2520,IF(MAX(0,SUM($B$2:B2)-SUM($C$2:C2)-SUM($D$2:D2)-SUM($E$2:E2))&lt;=300000,MAX(0,SUM($B$2:B2)-SUM($C$2:C2)-SUM($D$2:D2)-SUM($E$2:E2))*20%-16920,IF(MAX(0,SUM($B$2:B2)-SUM($C$2:C2)-SUM($D$2:D2)-SUM($E$2:E2))&lt;=420000,MAX(0,SUM($B$2:B2)-SUM($C$2:C2)-SUM($D$2:D2)-SUM($E$2:E2))*25%-31920,IF(MAX(0,SUM($B$2:B2)-SUM($C$2:C2)-SUM($D$2:D2)-SUM($E$2:E2))&lt;=660000,MAX(0,SUM($B$2:B2)-SUM($C$2:C2)-SUM($D$2:D2)-SUM($E$2:E2))*30%-52920,IF(MAX(0,SUM($B$2:B2)-SUM($C$2:C2)-SUM($D$2:D2)-SUM($E$2:E2))&lt;=960000,MAX(0,SUM($B$2:B2)-SUM($C$2:C2)-SUM($D$2:D2)-SUM($E$2:E2))*35%-85920,MAX(0,SUM($B$2:B2)-SUM($C$2:C2)-SUM($D$2:D2)-SUM($E$2:E2))*45%-181920))))))-0,2))</f>
        <v>550.11</v>
      </c>
      <c r="H2">
        <f>B2-D2-E2-G2</f>
        <v>22786.89</v>
      </c>
    </row>
    <row r="3" spans="1:8">
      <c r="A3">
        <v>2</v>
      </c>
      <c r="B3">
        <v>29960</v>
      </c>
      <c r="C3">
        <f>5000</f>
        <v>5000.00</v>
      </c>
      <c r="D3">
        <f>30000*10.2%+3</f>
        <v>3063.00</v>
      </c>
      <c r="E3">
        <f>30000*12%</f>
        <v>3600.00</v>
      </c>
      <c r="F3">
        <f>MAX(0,B3-C3-D3-E3)</f>
        <v>18297.00</v>
      </c>
      <c r="G3">
        <f>MAX(0,ROUND(IF(MAX(0,SUM($B$2:B3)-SUM($C$2:C3)-SUM($D$2:D3)-SUM($E$2:E3))&lt;=36000,MAX(0,SUM($B$2:B3)-SUM($C$2:C3)-SUM($D$2:D3)-SUM($E$2:E3))*3%,IF(MAX(0,SUM($B$2:B3)-SUM($C$2:C3)-SUM($D$2:D3)-SUM($E$2:E3))&lt;=144000,MAX(0,SUM($B$2:B3)-SUM($C$2:C3)-SUM($D$2:D3)-SUM($E$2:E3))*10%-2520,IF(MAX(0,SUM($B$2:B3)-SUM($C$2:C3)-SUM($D$2:D3)-SUM($E$2:E3))&lt;=300000,MAX(0,SUM($B$2:B3)-SUM($C$2:C3)-SUM($D$2:D3)-SUM($E$2:E3))*20%-16920,IF(MAX(0,SUM($B$2:B3)-SUM($C$2:C3)-SUM($D$2:D3)-SUM($E$2:E3))&lt;=420000,MAX(0,SUM($B$2:B3)-SUM($C$2:C3)-SUM($D$2:D3)-SUM($E$2:E3))*25%-31920,IF(MAX(0,SUM($B$2:B3)-SUM($C$2:C3)-SUM($D$2:D3)-SUM($E$2:E3))&lt;=660000,MAX(0,SUM($B$2:B3)-SUM($C$2:C3)-SUM($D$2:D3)-SUM($E$2:E3))*30%-52920,IF(MAX(0,SUM($B$2:B3)-SUM($C$2:C3)-SUM($D$2:D3)-SUM($E$2:E3))&lt;=960000,MAX(0,SUM($B$2:B3)-SUM($C$2:C3)-SUM($D$2:D3)-SUM($E$2:E3))*35%-85920,MAX(0,SUM($B$2:B3)-SUM($C$2:C3)-SUM($D$2:D3)-SUM($E$2:E3))*45%-181920))))))-SUM($G$2:G2),2))</f>
        <v>593.29</v>
      </c>
      <c r="H3">
        <f>B3-D3-E3-G3</f>
        <v>22703.71</v>
      </c>
    </row>
    <row r="4" spans="1:8">
      <c r="A4">
        <v>3</v>
      </c>
      <c r="B4">
        <v>30000</v>
      </c>
      <c r="C4">
        <f>5000</f>
        <v>5000.00</v>
      </c>
      <c r="D4">
        <f>30000*10.2%+3</f>
        <v>3063.00</v>
      </c>
      <c r="E4">
        <f>30000*12%</f>
        <v>3600.00</v>
      </c>
      <c r="F4">
        <f>MAX(0,B4-C4-D4-E4)</f>
        <v>18337.00</v>
      </c>
      <c r="G4">
        <f>MAX(0,ROUND(IF(MAX(0,SUM($B$2:B4)-SUM($C$2:C4)-SUM($D$2:D4)-SUM($E$2:E4))&lt;=36000,MAX(0,SUM($B$2:B4)-SUM($C$2:C4)-SUM($D$2:D4)-SUM($E$2:E4))*3%,IF(MAX(0,SUM($B$2:B4)-SUM($C$2:C4)-SUM($D$2:D4)-SUM($E$2:E4))&lt;=144000,MAX(0,SUM($B$2:B4)-SUM($C$2:C4)-SUM($D$2:D4)-SUM($E$2:E4))*10%-2520,IF(MAX(0,SUM($B$2:B4)-SUM($C$2:C4)-SUM($D$2:D4)-SUM($E$2:E4))&lt;=300000,MAX(0,SUM($B$2:B4)-SUM($C$2:C4)-SUM($D$2:D4)-SUM($E$2:E4))*20%-16920,IF(MAX(0,SUM($B$2:B4)-SUM($C$2:C4)-SUM($D$2:D4)-SUM($E$2:E4))&lt;=420000,MAX(0,SUM($B$2:B4)-SUM($C$2:C4)-SUM($D$2:D4)-SUM($E$2:E4))*25%-31920,IF(MAX(0,SUM($B$2:B4)-SUM($C$2:C4)-SUM($D$2:D4)-SUM($E$2:E4))&lt;=660000,MAX(0,SUM($B$2:B4)-SUM($C$2:C4)-SUM($D$2:D4)-SUM($E$2:E4))*30%-52920,IF(MAX(0,SUM($B$2:B4)-SUM($C$2:C4)-SUM($D$2:D4)-SUM($E$2:E4))&lt;=960000,MAX(0,SUM($B$2:B4)-SUM($C$2:C4)-SUM($D$2:D4)-SUM($E$2:E4))*35%-85920,MAX(0,SUM($B$2:B4)-SUM($C$2:C4)-SUM($D$2:D4)-SUM($E$2:E4))*45%-181920))))))-SUM($G$2:G3),2))</f>
        <v>1833.70</v>
      </c>
      <c r="H4">
        <f>B4-D4-E4-G4</f>
        <v>21503.30</v>
      </c>
    </row>
    <row r="5" spans="1:8">
      <c r="A5">
        <v>4</v>
      </c>
      <c r="B5">
        <v>11034.48</v>
      </c>
      <c r="C5">
        <f>5000</f>
        <v>5000.00</v>
      </c>
      <c r="D5">
        <f>30000*10.2%+3</f>
        <v>3063.00</v>
      </c>
      <c r="E5">
        <f>30000*12%</f>
        <v>3600.00</v>
      </c>
      <c r="F5">
        <f>MAX(0,B5-C5-D5-E5)</f>
        <v>0.00</v>
      </c>
      <c r="G5">
        <f>MAX(0,ROUND(IF(MAX(0,SUM($B$2:B5)-SUM($C$2:C5)-SUM($D$2:D5)-SUM($E$2:E5))&lt;=36000,MAX(0,SUM($B$2:B5)-SUM($C$2:C5)-SUM($D$2:D5)-SUM($E$2:E5))*3%,IF(MAX(0,SUM($B$2:B5)-SUM($C$2:C5)-SUM($D$2:D5)-SUM($E$2:E5))&lt;=144000,MAX(0,SUM($B$2:B5)-SUM($C$2:C5)-SUM($D$2:D5)-SUM($E$2:E5))*10%-2520,IF(MAX(0,SUM($B$2:B5)-SUM($C$2:C5)-SUM($D$2:D5)-SUM($E$2:E5))&lt;=300000,MAX(0,SUM($B$2:B5)-SUM($C$2:C5)-SUM($D$2:D5)-SUM($E$2:E5))*20%-16920,IF(MAX(0,SUM($B$2:B5)-SUM($C$2:C5)-SUM($D$2:D5)-SUM($E$2:E5))&lt;=420000,MAX(0,SUM($B$2:B5)-SUM($C$2:C5)-SUM($D$2:D5)-SUM($E$2:E5))*25%-31920,IF(MAX(0,SUM($B$2:B5)-SUM($C$2:C5)-SUM($D$2:D5)-SUM($E$2:E5))&lt;=660000,MAX(0,SUM($B$2:B5)-SUM($C$2:C5)-SUM($D$2:D5)-SUM($E$2:E5))*30%-52920,IF(MAX(0,SUM($B$2:B5)-SUM($C$2:C5)-SUM($D$2:D5)-SUM($E$2:E5))&lt;=960000,MAX(0,SUM($B$2:B5)-SUM($C$2:C5)-SUM($D$2:D5)-SUM($E$2:E5))*35%-85920,MAX(0,SUM($B$2:B5)-SUM($C$2:C5)-SUM($D$2:D5)-SUM($E$2:E5))*45%-181920))))))-SUM($G$2:G4),2))</f>
        <v>0.00</v>
      </c>
      <c r="H5">
        <f>B5-D5-E5-G5</f>
        <v>4371.48</v>
      </c>
    </row>
    <row r="6" spans="1:8">
      <c r="A6" t="s">
        <v>8</v>
      </c>
      <c r="B6">
        <f>SUM(B2:B5)</f>
        <v>100994.48</v>
      </c>
      <c r="C6">
        <f>SUM(C2:C5)</f>
        <v>20000.00</v>
      </c>
      <c r="D6">
        <f>SUM(D2:D5)</f>
        <v>12252.00</v>
      </c>
      <c r="E6">
        <f>SUM(E2:E5)</f>
        <v>14400.00</v>
      </c>
      <c r="F6">
        <f>SUM(F2:F5)</f>
        <v>54971.00</v>
      </c>
      <c r="G6">
        <f>SUM(G2:G5)</f>
        <v>2977.10</v>
      </c>
      <c r="H6">
        <f>SUM(H2:H5)</f>
        <v>71365.38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25年</vt:lpstr>
      <vt:lpstr>26年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sunjingfeng</dc:creator>
  <cp:lastModifiedBy>幸运草莓</cp:lastModifiedBy>
  <dcterms:created xsi:type="dcterms:W3CDTF">2026-04-15T08:38:00Z</dcterms:created>
  <dcterms:modified xsi:type="dcterms:W3CDTF">2026-04-14T17:01:24Z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1497E29C61E9DAF313FDDD69FA735E26_41</vt:lpwstr>
  </property>
  <property fmtid="{D5CDD505-2E9C-101B-9397-08002B2CF9AE}" pid="3" name="KSOProductBuildVer">
    <vt:lpwstr>1033-12.1.25201.25201</vt:lpwstr>
  </property>
  <property fmtid="{D5CDD505-2E9C-101B-9397-08002B2CF9AE}" pid="4" name="CalculationRule">
    <vt:i4>1</vt:i4>
  </property>
</Properties>
</file>